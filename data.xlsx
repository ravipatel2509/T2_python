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\Ravi(python2)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F21" i="1"/>
  <c r="F22" i="1"/>
  <c r="F20" i="1"/>
  <c r="F1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E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B1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E2" i="1" s="1"/>
  <c r="A17" i="1"/>
  <c r="F2" i="1" l="1"/>
</calcChain>
</file>

<file path=xl/sharedStrings.xml><?xml version="1.0" encoding="utf-8"?>
<sst xmlns="http://schemas.openxmlformats.org/spreadsheetml/2006/main" count="14" uniqueCount="14">
  <si>
    <t>x</t>
  </si>
  <si>
    <t>y</t>
  </si>
  <si>
    <t>xmean</t>
  </si>
  <si>
    <t>x-x(mean)</t>
  </si>
  <si>
    <t>y-y(mean)</t>
  </si>
  <si>
    <t>ymean</t>
  </si>
  <si>
    <t>x-x(mean)*y-y(mean)</t>
  </si>
  <si>
    <t>(x-x(mean))^2</t>
  </si>
  <si>
    <t>m</t>
  </si>
  <si>
    <t>m=</t>
  </si>
  <si>
    <t>y'=</t>
  </si>
  <si>
    <t>c=</t>
  </si>
  <si>
    <t>y=1.89x+19.04(final modal)</t>
  </si>
  <si>
    <t>y=mx+c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</si>
</sst>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L19" sqref="L19"/>
    </sheetView>
  </sheetViews>
  <sheetFormatPr defaultRowHeight="15" x14ac:dyDescent="0.25"/>
  <cols>
    <col min="5" max="5" width="22.5703125" customWidth="1"/>
    <col min="6" max="6" width="14.42578125" customWidth="1"/>
  </cols>
  <sheetData>
    <row r="1" spans="1:8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2"/>
    </row>
    <row r="2" spans="1:8" x14ac:dyDescent="0.25">
      <c r="A2" s="1">
        <v>15</v>
      </c>
      <c r="B2" s="1">
        <v>49</v>
      </c>
      <c r="C2" s="1">
        <f>A2-19.93333</f>
        <v>-4.9333300000000015</v>
      </c>
      <c r="D2" s="1">
        <f>B2-56.8</f>
        <v>-7.7999999999999972</v>
      </c>
      <c r="E2" s="1">
        <f>C2*D2</f>
        <v>38.479973999999999</v>
      </c>
      <c r="F2" s="1">
        <f>C2*C2</f>
        <v>24.337744888900016</v>
      </c>
      <c r="G2" s="2"/>
      <c r="H2" s="2"/>
    </row>
    <row r="3" spans="1:8" x14ac:dyDescent="0.25">
      <c r="A3" s="1">
        <v>23</v>
      </c>
      <c r="B3" s="1">
        <v>63</v>
      </c>
      <c r="C3" s="1">
        <f t="shared" ref="C3:C16" si="0">A3-19.93333</f>
        <v>3.0666699999999985</v>
      </c>
      <c r="D3" s="1">
        <f t="shared" ref="D3:D18" si="1">B3-56.8</f>
        <v>6.2000000000000028</v>
      </c>
      <c r="E3" s="1">
        <f t="shared" ref="E3:E16" si="2">C3*D3</f>
        <v>19.013354</v>
      </c>
      <c r="F3" s="1">
        <f t="shared" ref="F3:F16" si="3">C3*C3</f>
        <v>9.4044648888999909</v>
      </c>
      <c r="G3" s="2"/>
      <c r="H3" s="2"/>
    </row>
    <row r="4" spans="1:8" x14ac:dyDescent="0.25">
      <c r="A4" s="1">
        <v>18</v>
      </c>
      <c r="B4" s="1">
        <v>58</v>
      </c>
      <c r="C4" s="1">
        <f t="shared" si="0"/>
        <v>-1.9333300000000015</v>
      </c>
      <c r="D4" s="1">
        <f t="shared" si="1"/>
        <v>1.2000000000000028</v>
      </c>
      <c r="E4" s="1">
        <f t="shared" si="2"/>
        <v>-2.3199960000000073</v>
      </c>
      <c r="F4" s="1">
        <f t="shared" si="3"/>
        <v>3.7377648889000059</v>
      </c>
      <c r="G4" s="2"/>
      <c r="H4" s="2"/>
    </row>
    <row r="5" spans="1:8" x14ac:dyDescent="0.25">
      <c r="A5" s="1">
        <v>23</v>
      </c>
      <c r="B5" s="1">
        <v>60</v>
      </c>
      <c r="C5" s="1">
        <f t="shared" si="0"/>
        <v>3.0666699999999985</v>
      </c>
      <c r="D5" s="1">
        <f t="shared" si="1"/>
        <v>3.2000000000000028</v>
      </c>
      <c r="E5" s="1">
        <f t="shared" si="2"/>
        <v>9.8133440000000043</v>
      </c>
      <c r="F5" s="1">
        <f t="shared" si="3"/>
        <v>9.4044648888999909</v>
      </c>
      <c r="G5" s="2"/>
      <c r="H5" s="2"/>
    </row>
    <row r="6" spans="1:8" x14ac:dyDescent="0.25">
      <c r="A6" s="1">
        <v>24</v>
      </c>
      <c r="B6" s="1">
        <v>58</v>
      </c>
      <c r="C6" s="1">
        <f t="shared" si="0"/>
        <v>4.0666699999999985</v>
      </c>
      <c r="D6" s="1">
        <f t="shared" si="1"/>
        <v>1.2000000000000028</v>
      </c>
      <c r="E6" s="1">
        <f t="shared" si="2"/>
        <v>4.8800040000000093</v>
      </c>
      <c r="F6" s="1">
        <f t="shared" si="3"/>
        <v>16.537804888899988</v>
      </c>
      <c r="G6" s="2"/>
      <c r="H6" s="2"/>
    </row>
    <row r="7" spans="1:8" x14ac:dyDescent="0.25">
      <c r="A7" s="1">
        <v>22</v>
      </c>
      <c r="B7" s="1">
        <v>61</v>
      </c>
      <c r="C7" s="1">
        <f t="shared" si="0"/>
        <v>2.0666699999999985</v>
      </c>
      <c r="D7" s="1">
        <f t="shared" si="1"/>
        <v>4.2000000000000028</v>
      </c>
      <c r="E7" s="1">
        <f t="shared" si="2"/>
        <v>8.6800139999999999</v>
      </c>
      <c r="F7" s="1">
        <f t="shared" si="3"/>
        <v>4.271124888899994</v>
      </c>
      <c r="G7" s="2"/>
      <c r="H7" s="2"/>
    </row>
    <row r="8" spans="1:8" x14ac:dyDescent="0.25">
      <c r="A8" s="1">
        <v>22</v>
      </c>
      <c r="B8" s="1">
        <v>60</v>
      </c>
      <c r="C8" s="1">
        <f t="shared" si="0"/>
        <v>2.0666699999999985</v>
      </c>
      <c r="D8" s="1">
        <f t="shared" si="1"/>
        <v>3.2000000000000028</v>
      </c>
      <c r="E8" s="1">
        <f t="shared" si="2"/>
        <v>6.6133440000000006</v>
      </c>
      <c r="F8" s="1">
        <f t="shared" si="3"/>
        <v>4.271124888899994</v>
      </c>
      <c r="G8" s="2"/>
      <c r="H8" s="2"/>
    </row>
    <row r="9" spans="1:8" x14ac:dyDescent="0.25">
      <c r="A9" s="1">
        <v>19</v>
      </c>
      <c r="B9" s="1">
        <v>63</v>
      </c>
      <c r="C9" s="1">
        <f t="shared" si="0"/>
        <v>-0.93333000000000155</v>
      </c>
      <c r="D9" s="1">
        <f t="shared" si="1"/>
        <v>6.2000000000000028</v>
      </c>
      <c r="E9" s="1">
        <f t="shared" si="2"/>
        <v>-5.7866460000000126</v>
      </c>
      <c r="F9" s="1">
        <f t="shared" si="3"/>
        <v>0.87110488890000293</v>
      </c>
      <c r="G9" s="2"/>
      <c r="H9" s="2"/>
    </row>
    <row r="10" spans="1:8" x14ac:dyDescent="0.25">
      <c r="A10" s="1">
        <v>19</v>
      </c>
      <c r="B10" s="1">
        <v>60</v>
      </c>
      <c r="C10" s="1">
        <f t="shared" si="0"/>
        <v>-0.93333000000000155</v>
      </c>
      <c r="D10" s="1">
        <f t="shared" si="1"/>
        <v>3.2000000000000028</v>
      </c>
      <c r="E10" s="1">
        <f t="shared" si="2"/>
        <v>-2.9866560000000075</v>
      </c>
      <c r="F10" s="1">
        <f t="shared" si="3"/>
        <v>0.87110488890000293</v>
      </c>
      <c r="G10" s="2"/>
      <c r="H10" s="2"/>
    </row>
    <row r="11" spans="1:8" x14ac:dyDescent="0.25">
      <c r="A11" s="1">
        <v>16</v>
      </c>
      <c r="B11" s="1">
        <v>52</v>
      </c>
      <c r="C11" s="1">
        <f t="shared" si="0"/>
        <v>-3.9333300000000015</v>
      </c>
      <c r="D11" s="1">
        <f t="shared" si="1"/>
        <v>-4.7999999999999972</v>
      </c>
      <c r="E11" s="1">
        <f t="shared" si="2"/>
        <v>18.879983999999997</v>
      </c>
      <c r="F11" s="1">
        <f t="shared" si="3"/>
        <v>15.471084888900013</v>
      </c>
      <c r="G11" s="2"/>
      <c r="H11" s="2"/>
    </row>
    <row r="12" spans="1:8" x14ac:dyDescent="0.25">
      <c r="A12" s="1">
        <v>24</v>
      </c>
      <c r="B12" s="1">
        <v>62</v>
      </c>
      <c r="C12" s="1">
        <f t="shared" si="0"/>
        <v>4.0666699999999985</v>
      </c>
      <c r="D12" s="1">
        <f t="shared" si="1"/>
        <v>5.2000000000000028</v>
      </c>
      <c r="E12" s="1">
        <f t="shared" si="2"/>
        <v>21.146684000000004</v>
      </c>
      <c r="F12" s="1">
        <f t="shared" si="3"/>
        <v>16.537804888899988</v>
      </c>
      <c r="G12" s="2"/>
      <c r="H12" s="2"/>
    </row>
    <row r="13" spans="1:8" x14ac:dyDescent="0.25">
      <c r="A13" s="1">
        <v>11</v>
      </c>
      <c r="B13" s="1">
        <v>30</v>
      </c>
      <c r="C13" s="1">
        <f t="shared" si="0"/>
        <v>-8.9333300000000015</v>
      </c>
      <c r="D13" s="1">
        <f t="shared" si="1"/>
        <v>-26.799999999999997</v>
      </c>
      <c r="E13" s="1">
        <f t="shared" si="2"/>
        <v>239.41324400000002</v>
      </c>
      <c r="F13" s="1">
        <f t="shared" si="3"/>
        <v>79.804384888900032</v>
      </c>
      <c r="G13" s="2"/>
      <c r="H13" s="2"/>
    </row>
    <row r="14" spans="1:8" x14ac:dyDescent="0.25">
      <c r="A14" s="1">
        <v>24</v>
      </c>
      <c r="B14" s="1">
        <v>59</v>
      </c>
      <c r="C14" s="1">
        <f t="shared" si="0"/>
        <v>4.0666699999999985</v>
      </c>
      <c r="D14" s="1">
        <f t="shared" si="1"/>
        <v>2.2000000000000028</v>
      </c>
      <c r="E14" s="1">
        <f t="shared" si="2"/>
        <v>8.9466740000000087</v>
      </c>
      <c r="F14" s="1">
        <f t="shared" si="3"/>
        <v>16.537804888899988</v>
      </c>
      <c r="G14" s="2"/>
      <c r="H14" s="2"/>
    </row>
    <row r="15" spans="1:8" x14ac:dyDescent="0.25">
      <c r="A15" s="1">
        <v>16</v>
      </c>
      <c r="B15" s="1">
        <v>49</v>
      </c>
      <c r="C15" s="1">
        <f t="shared" si="0"/>
        <v>-3.9333300000000015</v>
      </c>
      <c r="D15" s="1">
        <f t="shared" si="1"/>
        <v>-7.7999999999999972</v>
      </c>
      <c r="E15" s="1">
        <f t="shared" si="2"/>
        <v>30.679974000000001</v>
      </c>
      <c r="F15" s="1">
        <f t="shared" si="3"/>
        <v>15.471084888900013</v>
      </c>
      <c r="G15" s="2"/>
      <c r="H15" s="2"/>
    </row>
    <row r="16" spans="1:8" x14ac:dyDescent="0.25">
      <c r="A16" s="1">
        <v>23</v>
      </c>
      <c r="B16" s="1">
        <v>68</v>
      </c>
      <c r="C16" s="1">
        <f t="shared" si="0"/>
        <v>3.0666699999999985</v>
      </c>
      <c r="D16" s="1">
        <f t="shared" si="1"/>
        <v>11.200000000000003</v>
      </c>
      <c r="E16" s="1">
        <f t="shared" si="2"/>
        <v>34.346703999999988</v>
      </c>
      <c r="F16" s="1">
        <f t="shared" si="3"/>
        <v>9.4044648888999909</v>
      </c>
      <c r="G16" s="2"/>
      <c r="H16" s="2"/>
    </row>
    <row r="17" spans="1:7" x14ac:dyDescent="0.25">
      <c r="A17">
        <f>AVERAGE(A2:A16)</f>
        <v>19.933333333333334</v>
      </c>
      <c r="B17">
        <f>AVERAGE(B2:B16)</f>
        <v>56.8</v>
      </c>
      <c r="D17" s="1"/>
      <c r="E17" s="1">
        <f>SUM(E2:E16)</f>
        <v>429.8</v>
      </c>
      <c r="F17" s="1">
        <f>SUM(F2:F16)</f>
        <v>226.93333333349997</v>
      </c>
    </row>
    <row r="18" spans="1:7" x14ac:dyDescent="0.25">
      <c r="A18" t="s">
        <v>2</v>
      </c>
      <c r="B18" t="s">
        <v>5</v>
      </c>
      <c r="D18" s="1"/>
    </row>
    <row r="20" spans="1:7" x14ac:dyDescent="0.25">
      <c r="E20" t="s">
        <v>9</v>
      </c>
      <c r="F20">
        <f>E17/F17</f>
        <v>1.8939482961208185</v>
      </c>
    </row>
    <row r="21" spans="1:7" x14ac:dyDescent="0.25">
      <c r="E21" t="s">
        <v>10</v>
      </c>
      <c r="F21">
        <f>F20*A17+F22</f>
        <v>56.8</v>
      </c>
    </row>
    <row r="22" spans="1:7" x14ac:dyDescent="0.25">
      <c r="E22" t="s">
        <v>11</v>
      </c>
      <c r="F22">
        <f>B17-F20*A17</f>
        <v>19.047297297325017</v>
      </c>
    </row>
    <row r="23" spans="1:7" x14ac:dyDescent="0.25">
      <c r="E23" t="s">
        <v>13</v>
      </c>
    </row>
    <row r="24" spans="1:7" x14ac:dyDescent="0.25">
      <c r="E24" t="s">
        <v>12</v>
      </c>
      <c r="G24">
        <f>A11*A11+F22</f>
        <v>275.04729729732503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2026-04-11T03:44:55Z</dcterms:created>
  <dcterms:modified xsi:type="dcterms:W3CDTF">2026-04-11T04:14:28Z</dcterms:modified>
</cp:coreProperties>
</file>